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66db4a5de46abf/2_BasementEngineering/2_Projekte/202112_MiniKenterprise/docs/materials/"/>
    </mc:Choice>
  </mc:AlternateContent>
  <xr:revisionPtr revIDLastSave="566" documentId="8_{BE716523-41BA-44C8-893E-390EC6830638}" xr6:coauthVersionLast="47" xr6:coauthVersionMax="47" xr10:uidLastSave="{03F591A6-063B-47E4-BEF1-5F496A63292D}"/>
  <bookViews>
    <workbookView xWindow="-110" yWindow="-110" windowWidth="19420" windowHeight="11500" activeTab="1" xr2:uid="{7E7D572D-3A24-416A-AC02-7A34C9FD0639}"/>
  </bookViews>
  <sheets>
    <sheet name="Input" sheetId="4" r:id="rId1"/>
    <sheet name="BOM_2024_Workshop_Austria" sheetId="1" r:id="rId2"/>
    <sheet name="Component Group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J5" i="1"/>
  <c r="K5" i="1" s="1"/>
  <c r="I16" i="1"/>
  <c r="J3" i="1"/>
  <c r="K3" i="1" s="1"/>
  <c r="J2" i="1"/>
  <c r="K2" i="1" s="1"/>
  <c r="J4" i="1"/>
  <c r="K4" i="1" s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I15" i="1"/>
  <c r="I17" i="1"/>
  <c r="I21" i="1"/>
  <c r="I20" i="1"/>
  <c r="I19" i="1"/>
  <c r="I18" i="1"/>
  <c r="I3" i="1"/>
  <c r="I13" i="1"/>
  <c r="I14" i="1"/>
  <c r="I4" i="1"/>
  <c r="I12" i="1"/>
  <c r="I11" i="1"/>
  <c r="I10" i="1"/>
  <c r="I9" i="1"/>
  <c r="I8" i="1"/>
  <c r="I7" i="1"/>
  <c r="I6" i="1"/>
  <c r="I2" i="1"/>
  <c r="B2" i="4" l="1"/>
  <c r="B3" i="4" l="1"/>
  <c r="B28" i="4" s="1"/>
  <c r="B29" i="4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</futureMetadata>
  <valueMetadata count="1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</valueMetadata>
</metadata>
</file>

<file path=xl/sharedStrings.xml><?xml version="1.0" encoding="utf-8"?>
<sst xmlns="http://schemas.openxmlformats.org/spreadsheetml/2006/main" count="160" uniqueCount="111">
  <si>
    <t>Microcontroller</t>
  </si>
  <si>
    <t>Wemos D1 Mini</t>
  </si>
  <si>
    <t>Pro Boot Benötigt</t>
  </si>
  <si>
    <t>0,5 mm flex</t>
  </si>
  <si>
    <t>AWG 22 1 core</t>
  </si>
  <si>
    <t>2,54 mm</t>
  </si>
  <si>
    <t>RGB LED Strip</t>
  </si>
  <si>
    <t>Breadboard</t>
  </si>
  <si>
    <t>Motor Driver</t>
  </si>
  <si>
    <t>10nF</t>
  </si>
  <si>
    <t>Filament</t>
  </si>
  <si>
    <t>Link</t>
  </si>
  <si>
    <t>Number</t>
  </si>
  <si>
    <t>Group</t>
  </si>
  <si>
    <t>1.1</t>
  </si>
  <si>
    <t>Name</t>
  </si>
  <si>
    <t>= [@Number] &amp; " " &amp; [@Name]</t>
  </si>
  <si>
    <t>1 Brain</t>
  </si>
  <si>
    <t>2 Propulsion System</t>
  </si>
  <si>
    <t>3 Power Supply</t>
  </si>
  <si>
    <t>4 Connection Equiptment</t>
  </si>
  <si>
    <t>5 Lights</t>
  </si>
  <si>
    <t>6 Bottles</t>
  </si>
  <si>
    <t>7 3D Printed Parts</t>
  </si>
  <si>
    <t>8 Further Components</t>
  </si>
  <si>
    <t>Price (Per Boat)</t>
  </si>
  <si>
    <t>Quantity (In Package)</t>
  </si>
  <si>
    <t>Switch</t>
  </si>
  <si>
    <t>Step Up Converter</t>
  </si>
  <si>
    <t>BMS + Battery Holder</t>
  </si>
  <si>
    <t>Battery</t>
  </si>
  <si>
    <t>Wire flex</t>
  </si>
  <si>
    <t>Wire solid</t>
  </si>
  <si>
    <t>Pin Headers</t>
  </si>
  <si>
    <t>Shrink Tubing</t>
  </si>
  <si>
    <t>Component</t>
  </si>
  <si>
    <t>Description</t>
  </si>
  <si>
    <t>Motor Capacitor</t>
  </si>
  <si>
    <t>Big Capacitor</t>
  </si>
  <si>
    <t>LED Resistor</t>
  </si>
  <si>
    <t>Voltage Sensor Resistor</t>
  </si>
  <si>
    <t xml:space="preserve">DRV8833, 1.5 A </t>
  </si>
  <si>
    <t>3 A Mini Switch</t>
  </si>
  <si>
    <t>to 5 V 1 A</t>
  </si>
  <si>
    <t>18650 Li-Ion</t>
  </si>
  <si>
    <t>Battery Connector</t>
  </si>
  <si>
    <t>JST SM-2 Male</t>
  </si>
  <si>
    <t>https://amzn.eu/d/i4H2p2R</t>
  </si>
  <si>
    <t>Number of Boats</t>
  </si>
  <si>
    <t>https://amzn.eu/d/aCX3FEc</t>
  </si>
  <si>
    <t>https://amzn.eu/d/hKmvStG</t>
  </si>
  <si>
    <t>https://amzn.eu/d/dPWls2S</t>
  </si>
  <si>
    <t>https://amzn.eu/d/39lWZCQ</t>
  </si>
  <si>
    <t>https://amzn.eu/d/bnOOZtQ</t>
  </si>
  <si>
    <t>https://amzn.eu/d/30379W4</t>
  </si>
  <si>
    <t>https://amzn.eu/d/a8is0Px</t>
  </si>
  <si>
    <t>https://amzn.eu/d/hEwwOHh</t>
  </si>
  <si>
    <t>https://amzn.eu/d/6LyUK9p</t>
  </si>
  <si>
    <t>https://amzn.eu/d/8rUZ3UA</t>
  </si>
  <si>
    <t>https://amzn.eu/d/hQ5Fipr</t>
  </si>
  <si>
    <t>https://amzn.eu/d/gTUUtYN</t>
  </si>
  <si>
    <t>https://amzn.eu/d/8o4qvAL</t>
  </si>
  <si>
    <t>2.2</t>
  </si>
  <si>
    <t>2.1</t>
  </si>
  <si>
    <t>3.1</t>
  </si>
  <si>
    <t>3.2</t>
  </si>
  <si>
    <t>4.1</t>
  </si>
  <si>
    <t>4.2</t>
  </si>
  <si>
    <t>8.2</t>
  </si>
  <si>
    <t>8.1</t>
  </si>
  <si>
    <t>3.3</t>
  </si>
  <si>
    <t>3.4</t>
  </si>
  <si>
    <t>4.5</t>
  </si>
  <si>
    <t>4.4</t>
  </si>
  <si>
    <t>4.3</t>
  </si>
  <si>
    <t>4.6</t>
  </si>
  <si>
    <t>5.1</t>
  </si>
  <si>
    <t>7.1</t>
  </si>
  <si>
    <t>8.3</t>
  </si>
  <si>
    <t>8.4</t>
  </si>
  <si>
    <t>Image</t>
  </si>
  <si>
    <t>Alternative</t>
  </si>
  <si>
    <t>https://amzn.eu/d/gmiQ5nL</t>
  </si>
  <si>
    <t>Alternative 2</t>
  </si>
  <si>
    <t>https://amzn.eu/d/7L0AFRe</t>
  </si>
  <si>
    <t>Micro USB Port, TP4056 Chip, Charging and Protection</t>
  </si>
  <si>
    <t>Price per Boat</t>
  </si>
  <si>
    <t>Component Price</t>
  </si>
  <si>
    <t>Quantity (min Packages)</t>
  </si>
  <si>
    <t>Price (Total)</t>
  </si>
  <si>
    <t>Price (per Package)</t>
  </si>
  <si>
    <t>https://amzn.eu/d/1UbT236</t>
  </si>
  <si>
    <t>Prive per Boat</t>
  </si>
  <si>
    <t>Price Total</t>
  </si>
  <si>
    <t>7x20 mm coreless DC Motor, 55 mm Propeller (7x16 mm would be even better)</t>
  </si>
  <si>
    <t>https://amzn.eu/d/3WeLk5l</t>
  </si>
  <si>
    <t>3:1 1,5 to 0.5 mm</t>
  </si>
  <si>
    <t>470 Ohm 0,25 W</t>
  </si>
  <si>
    <t>180 Kohm 0,25 W</t>
  </si>
  <si>
    <t>Alternative 3</t>
  </si>
  <si>
    <t>x</t>
  </si>
  <si>
    <t>https://amzn.eu/d/i4iAauW</t>
  </si>
  <si>
    <t>14,99 Angebot</t>
  </si>
  <si>
    <t>https://amzn.eu/d/4KCSOd2</t>
  </si>
  <si>
    <t>https://amzn.eu/d/8jy2FVU</t>
  </si>
  <si>
    <t>2.3</t>
  </si>
  <si>
    <t>Propeller</t>
  </si>
  <si>
    <t>Motor</t>
  </si>
  <si>
    <t>https://amzn.eu/d/e5wDtpY</t>
  </si>
  <si>
    <t>Check</t>
  </si>
  <si>
    <t>x nur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</si>
</sst>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2EDAE"/>
        <bgColor indexed="64"/>
      </patternFill>
    </fill>
    <fill>
      <patternFill patternType="solid">
        <fgColor rgb="FFE8D45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2" fontId="0" fillId="0" borderId="0" xfId="0" applyNumberFormat="1"/>
    <xf numFmtId="49" fontId="0" fillId="2" borderId="0" xfId="0" applyNumberFormat="1" applyFill="1"/>
    <xf numFmtId="49" fontId="0" fillId="3" borderId="0" xfId="0" applyNumberFormat="1" applyFill="1"/>
    <xf numFmtId="49" fontId="0" fillId="4" borderId="0" xfId="0" applyNumberFormat="1" applyFill="1"/>
    <xf numFmtId="49" fontId="0" fillId="5" borderId="0" xfId="0" applyNumberFormat="1" applyFill="1"/>
    <xf numFmtId="49" fontId="0" fillId="6" borderId="0" xfId="0" applyNumberFormat="1" applyFill="1"/>
    <xf numFmtId="49" fontId="0" fillId="7" borderId="0" xfId="0" applyNumberFormat="1" applyFill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1" fillId="0" borderId="0" xfId="1" applyAlignment="1">
      <alignment vertical="center"/>
    </xf>
    <xf numFmtId="0" fontId="0" fillId="0" borderId="0" xfId="0" applyAlignment="1">
      <alignment vertical="center" wrapText="1"/>
    </xf>
    <xf numFmtId="1" fontId="0" fillId="0" borderId="0" xfId="0" applyNumberFormat="1"/>
    <xf numFmtId="1" fontId="0" fillId="0" borderId="0" xfId="0" applyNumberFormat="1" applyAlignment="1">
      <alignment vertical="center"/>
    </xf>
  </cellXfs>
  <cellStyles count="2">
    <cellStyle name="Hyperlink" xfId="1" builtinId="8"/>
    <cellStyle name="Normal" xfId="0" builtinId="0"/>
  </cellStyles>
  <dxfs count="21">
    <dxf>
      <alignment vertical="center" textRotation="0" wrapText="0" indent="0" justifyLastLine="0" shrinkToFit="0" readingOrder="0"/>
    </dxf>
    <dxf>
      <numFmt numFmtId="30" formatCode="@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</dxf>
    <dxf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1" formatCode="0"/>
      <alignment horizontal="general" vertical="center" textRotation="0" wrapText="0" indent="0" justifyLastLine="0" shrinkToFit="0" readingOrder="0"/>
    </dxf>
    <dxf>
      <numFmt numFmtId="1" formatCode="0"/>
      <alignment vertical="center" textRotation="0" wrapText="0" indent="0" justifyLastLine="0" shrinkToFit="0" readingOrder="0"/>
    </dxf>
    <dxf>
      <numFmt numFmtId="2" formatCode="0.00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30" formatCode="@"/>
      <alignment vertical="center" textRotation="0" wrapText="0" indent="0" justifyLastLine="0" shrinkToFit="0" readingOrder="0"/>
    </dxf>
    <dxf>
      <numFmt numFmtId="30" formatCode="@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E8D45A"/>
      <color rgb="FFF2ED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Price</a:t>
            </a:r>
            <a:r>
              <a:rPr lang="de-DE" baseline="0"/>
              <a:t> vs. Number of Boats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5120088047330177"/>
          <c:y val="0.15782407407407409"/>
          <c:w val="0.70004496319452636"/>
          <c:h val="0.615354695246427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Input!$B$28</c:f>
              <c:strCache>
                <c:ptCount val="1"/>
                <c:pt idx="0">
                  <c:v>33,85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Input!$C$27:$V$27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Input!$C$28:$V$28</c:f>
              <c:numCache>
                <c:formatCode>0.00</c:formatCode>
                <c:ptCount val="20"/>
                <c:pt idx="0">
                  <c:v>226.60000000000002</c:v>
                </c:pt>
                <c:pt idx="1">
                  <c:v>113.30000000000001</c:v>
                </c:pt>
                <c:pt idx="2">
                  <c:v>75.533333333333346</c:v>
                </c:pt>
                <c:pt idx="3">
                  <c:v>56.650000000000006</c:v>
                </c:pt>
                <c:pt idx="4">
                  <c:v>49.320000000000007</c:v>
                </c:pt>
                <c:pt idx="5">
                  <c:v>53.281666666666673</c:v>
                </c:pt>
                <c:pt idx="6">
                  <c:v>45.670000000000009</c:v>
                </c:pt>
                <c:pt idx="7">
                  <c:v>40.960000000000008</c:v>
                </c:pt>
                <c:pt idx="8">
                  <c:v>39.463333333333338</c:v>
                </c:pt>
                <c:pt idx="9">
                  <c:v>35.51700000000001</c:v>
                </c:pt>
                <c:pt idx="10">
                  <c:v>44.338181818181823</c:v>
                </c:pt>
                <c:pt idx="11">
                  <c:v>40.643333333333338</c:v>
                </c:pt>
                <c:pt idx="12">
                  <c:v>39.055384615384625</c:v>
                </c:pt>
                <c:pt idx="13">
                  <c:v>36.265714285714289</c:v>
                </c:pt>
                <c:pt idx="14">
                  <c:v>33.848000000000006</c:v>
                </c:pt>
                <c:pt idx="15">
                  <c:v>36.800000000000011</c:v>
                </c:pt>
                <c:pt idx="16">
                  <c:v>36.252352941176483</c:v>
                </c:pt>
                <c:pt idx="17">
                  <c:v>34.238333333333344</c:v>
                </c:pt>
                <c:pt idx="18">
                  <c:v>32.436315789473696</c:v>
                </c:pt>
                <c:pt idx="19">
                  <c:v>30.81450000000001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0F-4C3A-95F2-4F4E2939E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810080"/>
        <c:axId val="160809600"/>
      </c:scatterChart>
      <c:scatterChart>
        <c:scatterStyle val="smoothMarker"/>
        <c:varyColors val="0"/>
        <c:ser>
          <c:idx val="1"/>
          <c:order val="1"/>
          <c:tx>
            <c:strRef>
              <c:f>Input!$B$29</c:f>
              <c:strCache>
                <c:ptCount val="1"/>
                <c:pt idx="0">
                  <c:v>507,72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Input!$C$27:$V$27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Input!$C$29:$V$29</c:f>
              <c:numCache>
                <c:formatCode>0.00</c:formatCode>
                <c:ptCount val="20"/>
                <c:pt idx="0">
                  <c:v>226.60000000000002</c:v>
                </c:pt>
                <c:pt idx="1">
                  <c:v>226.60000000000002</c:v>
                </c:pt>
                <c:pt idx="2">
                  <c:v>226.60000000000002</c:v>
                </c:pt>
                <c:pt idx="3">
                  <c:v>226.60000000000002</c:v>
                </c:pt>
                <c:pt idx="4">
                  <c:v>246.60000000000002</c:v>
                </c:pt>
                <c:pt idx="5">
                  <c:v>319.69000000000005</c:v>
                </c:pt>
                <c:pt idx="6">
                  <c:v>319.69000000000005</c:v>
                </c:pt>
                <c:pt idx="7">
                  <c:v>327.68000000000006</c:v>
                </c:pt>
                <c:pt idx="8">
                  <c:v>355.17000000000007</c:v>
                </c:pt>
                <c:pt idx="9">
                  <c:v>355.17000000000007</c:v>
                </c:pt>
                <c:pt idx="10">
                  <c:v>487.72000000000008</c:v>
                </c:pt>
                <c:pt idx="11">
                  <c:v>487.72000000000008</c:v>
                </c:pt>
                <c:pt idx="12">
                  <c:v>507.72000000000008</c:v>
                </c:pt>
                <c:pt idx="13">
                  <c:v>507.72000000000008</c:v>
                </c:pt>
                <c:pt idx="14">
                  <c:v>507.72000000000008</c:v>
                </c:pt>
                <c:pt idx="15">
                  <c:v>588.80000000000018</c:v>
                </c:pt>
                <c:pt idx="16">
                  <c:v>616.29000000000019</c:v>
                </c:pt>
                <c:pt idx="17">
                  <c:v>616.29000000000019</c:v>
                </c:pt>
                <c:pt idx="18">
                  <c:v>616.29000000000019</c:v>
                </c:pt>
                <c:pt idx="19">
                  <c:v>616.29000000000019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0F-4C3A-95F2-4F4E2939E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4593712"/>
        <c:axId val="48287984"/>
      </c:scatterChart>
      <c:valAx>
        <c:axId val="160810080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Nr of</a:t>
                </a:r>
                <a:r>
                  <a:rPr lang="de-DE" baseline="0"/>
                  <a:t> boats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0809600"/>
        <c:crosses val="autoZero"/>
        <c:crossBetween val="midCat"/>
      </c:valAx>
      <c:valAx>
        <c:axId val="16080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Price Per Boat</a:t>
                </a:r>
              </a:p>
            </c:rich>
          </c:tx>
          <c:layout>
            <c:manualLayout>
              <c:xMode val="edge"/>
              <c:yMode val="edge"/>
              <c:x val="2.9458556905870837E-2"/>
              <c:y val="0.366462160979877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0810080"/>
        <c:crosses val="autoZero"/>
        <c:crossBetween val="midCat"/>
      </c:valAx>
      <c:valAx>
        <c:axId val="4828798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Total</a:t>
                </a:r>
                <a:r>
                  <a:rPr lang="de-DE" baseline="0"/>
                  <a:t> Price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64593712"/>
        <c:crosses val="max"/>
        <c:crossBetween val="midCat"/>
      </c:valAx>
      <c:valAx>
        <c:axId val="14645937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8287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165546139961736"/>
          <c:y val="0.92187445319335082"/>
          <c:w val="0.76168575742523148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157816</xdr:colOff>
      <xdr:row>3</xdr:row>
      <xdr:rowOff>121399</xdr:rowOff>
    </xdr:from>
    <xdr:to>
      <xdr:col>7</xdr:col>
      <xdr:colOff>526676</xdr:colOff>
      <xdr:row>18</xdr:row>
      <xdr:rowOff>102348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27978C-7411-23B8-6DAF-DFC9DE5E6F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9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E7D6B6-5F8C-4655-B560-883CAD390CAF}" name="Table2" displayName="Table2" ref="A1:P21" totalsRowShown="0" dataDxfId="20">
  <autoFilter ref="A1:P21" xr:uid="{4FE7D6B6-5F8C-4655-B560-883CAD390CAF}"/>
  <sortState xmlns:xlrd2="http://schemas.microsoft.com/office/spreadsheetml/2017/richdata2" ref="A2:L21">
    <sortCondition ref="B1:B21"/>
  </sortState>
  <tableColumns count="16">
    <tableColumn id="1" xr3:uid="{5F78CAF0-4336-4F15-B670-44931FEF7482}" name="Number" dataDxfId="19"/>
    <tableColumn id="2" xr3:uid="{70E460A1-1E47-4DF9-9C5C-2A9F5D4806F6}" name="Group" dataDxfId="18"/>
    <tableColumn id="3" xr3:uid="{BB8CBFDA-BFCB-4691-A728-48160A07DF7F}" name="Component" dataDxfId="17"/>
    <tableColumn id="12" xr3:uid="{FBEA50AC-A442-4E75-905F-C2047462069E}" name="Image" dataDxfId="16"/>
    <tableColumn id="4" xr3:uid="{56035804-529D-4195-9673-8A7B1F55DC7D}" name="Description" dataDxfId="15"/>
    <tableColumn id="5" xr3:uid="{D6B861DB-20A4-42D0-8601-C3B56F3BEA6A}" name="Price (per Package)" dataDxfId="14"/>
    <tableColumn id="6" xr3:uid="{B4C338A7-4FEE-44BC-8BEA-BF486CF9B2A9}" name="Quantity (In Package)" dataDxfId="13"/>
    <tableColumn id="7" xr3:uid="{1EAF18C2-16F5-4A5D-B2DA-436A7607A911}" name="Pro Boot Benötigt" dataDxfId="12"/>
    <tableColumn id="8" xr3:uid="{BE3BC9E5-BD34-45B9-BC31-CD2F7608BFF3}" name="Price (Per Boat)" dataDxfId="11">
      <calculatedColumnFormula>F2 * (H2/G2)</calculatedColumnFormula>
    </tableColumn>
    <tableColumn id="10" xr3:uid="{D3CECB1D-9FD6-404A-B336-93CBF1B12D80}" name="Quantity (min Packages)" dataDxfId="10">
      <calculatedColumnFormula>ROUNDUP((Table2[[#This Row],[Pro Boot Benötigt]]/Table2[[#This Row],[Quantity (In Package)]]) * Input!$B$1,0)</calculatedColumnFormula>
    </tableColumn>
    <tableColumn id="17" xr3:uid="{1761EE06-FAE1-40E0-8582-F33AA7FF4169}" name="Price (Total)" dataDxfId="9">
      <calculatedColumnFormula>Table2[[#This Row],[Price (per Package)]]*Table2[[#This Row],[Quantity (min Packages)]]</calculatedColumnFormula>
    </tableColumn>
    <tableColumn id="9" xr3:uid="{58332A28-FBC4-47FB-B41B-8B50E21A5013}" name="Link" dataDxfId="8"/>
    <tableColumn id="14" xr3:uid="{128737AD-1F04-403F-B853-6C7593A69FBD}" name="Alternative" dataDxfId="7"/>
    <tableColumn id="15" xr3:uid="{811BCECF-B2D9-4F71-9C2F-D61936006608}" name="Alternative 2" dataDxfId="6"/>
    <tableColumn id="11" xr3:uid="{1E3BD73A-4123-42D5-8C5E-5A58E1E24FE3}" name="Alternative 3" dataDxfId="5"/>
    <tableColumn id="13" xr3:uid="{27479DAB-5959-4CFE-805F-D4C8D4BA156F}" name="Check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98843E-AD43-4EA6-A2EF-87B289CBC42D}" name="Groups" displayName="Groups" ref="A1:C9" totalsRowShown="0" headerRowDxfId="4">
  <autoFilter ref="A1:C9" xr:uid="{CD98843E-AD43-4EA6-A2EF-87B289CBC42D}"/>
  <tableColumns count="3">
    <tableColumn id="1" xr3:uid="{7F5D6346-A499-4693-9BF5-604F6CBE996A}" name="Name" dataDxfId="3"/>
    <tableColumn id="2" xr3:uid="{5024EB28-4F1A-40F2-977D-F904CC3AF2E3}" name="Number" dataDxfId="2"/>
    <tableColumn id="3" xr3:uid="{36B4C0AE-CE08-4B82-91CE-1D22FC702867}" name="Group" dataDxfId="1">
      <calculatedColumnFormula>Groups[[#This Row],[Number]]+Groups[[#This Row],[Name]]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amzn.eu/d/i4iAauW" TargetMode="External"/><Relationship Id="rId13" Type="http://schemas.openxmlformats.org/officeDocument/2006/relationships/hyperlink" Target="https://amzn.eu/d/a8is0Px" TargetMode="External"/><Relationship Id="rId18" Type="http://schemas.openxmlformats.org/officeDocument/2006/relationships/hyperlink" Target="https://amzn.eu/d/8o4qvAL" TargetMode="External"/><Relationship Id="rId3" Type="http://schemas.openxmlformats.org/officeDocument/2006/relationships/hyperlink" Target="https://amzn.eu/d/dPWls2S" TargetMode="External"/><Relationship Id="rId21" Type="http://schemas.openxmlformats.org/officeDocument/2006/relationships/hyperlink" Target="https://amzn.eu/d/hKmvStG" TargetMode="External"/><Relationship Id="rId7" Type="http://schemas.openxmlformats.org/officeDocument/2006/relationships/hyperlink" Target="https://amzn.eu/d/aCX3FEc" TargetMode="External"/><Relationship Id="rId12" Type="http://schemas.openxmlformats.org/officeDocument/2006/relationships/hyperlink" Target="https://amzn.eu/d/30379W4" TargetMode="External"/><Relationship Id="rId17" Type="http://schemas.openxmlformats.org/officeDocument/2006/relationships/hyperlink" Target="https://amzn.eu/d/4KCSOd2" TargetMode="External"/><Relationship Id="rId2" Type="http://schemas.openxmlformats.org/officeDocument/2006/relationships/hyperlink" Target="https://amzn.eu/d/8jy2FVU" TargetMode="External"/><Relationship Id="rId16" Type="http://schemas.openxmlformats.org/officeDocument/2006/relationships/hyperlink" Target="https://amzn.eu/d/hQ5Fipr" TargetMode="External"/><Relationship Id="rId20" Type="http://schemas.openxmlformats.org/officeDocument/2006/relationships/hyperlink" Target="https://amzn.eu/d/7L0AFRe" TargetMode="External"/><Relationship Id="rId1" Type="http://schemas.openxmlformats.org/officeDocument/2006/relationships/hyperlink" Target="https://amzn.eu/d/gTUUtYN" TargetMode="External"/><Relationship Id="rId6" Type="http://schemas.openxmlformats.org/officeDocument/2006/relationships/hyperlink" Target="https://amzn.eu/d/i4H2p2R" TargetMode="External"/><Relationship Id="rId11" Type="http://schemas.openxmlformats.org/officeDocument/2006/relationships/hyperlink" Target="https://amzn.eu/d/bnOOZtQ" TargetMode="External"/><Relationship Id="rId5" Type="http://schemas.openxmlformats.org/officeDocument/2006/relationships/hyperlink" Target="https://amzn.eu/d/3WeLk5l" TargetMode="External"/><Relationship Id="rId15" Type="http://schemas.openxmlformats.org/officeDocument/2006/relationships/hyperlink" Target="https://amzn.eu/d/8rUZ3UA" TargetMode="External"/><Relationship Id="rId23" Type="http://schemas.openxmlformats.org/officeDocument/2006/relationships/table" Target="../tables/table1.xml"/><Relationship Id="rId10" Type="http://schemas.openxmlformats.org/officeDocument/2006/relationships/hyperlink" Target="https://amzn.eu/d/39lWZCQ" TargetMode="External"/><Relationship Id="rId19" Type="http://schemas.openxmlformats.org/officeDocument/2006/relationships/hyperlink" Target="https://amzn.eu/d/gmiQ5nL" TargetMode="External"/><Relationship Id="rId4" Type="http://schemas.openxmlformats.org/officeDocument/2006/relationships/hyperlink" Target="https://amzn.eu/d/hEwwOHh" TargetMode="External"/><Relationship Id="rId9" Type="http://schemas.openxmlformats.org/officeDocument/2006/relationships/hyperlink" Target="https://amzn.eu/d/1UbT236" TargetMode="External"/><Relationship Id="rId14" Type="http://schemas.openxmlformats.org/officeDocument/2006/relationships/hyperlink" Target="https://amzn.eu/d/6LyUK9p" TargetMode="External"/><Relationship Id="rId22" Type="http://schemas.openxmlformats.org/officeDocument/2006/relationships/hyperlink" Target="https://amzn.eu/d/e5wDtpY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F63CE-1D5E-47EA-86D5-A307894AB8F0}">
  <dimension ref="A1:V29"/>
  <sheetViews>
    <sheetView zoomScale="68" zoomScaleNormal="85" workbookViewId="0">
      <selection activeCell="G25" sqref="G25"/>
    </sheetView>
  </sheetViews>
  <sheetFormatPr defaultRowHeight="14.5" x14ac:dyDescent="0.35"/>
  <cols>
    <col min="1" max="1" width="15" customWidth="1"/>
  </cols>
  <sheetData>
    <row r="1" spans="1:2" x14ac:dyDescent="0.35">
      <c r="A1" t="s">
        <v>48</v>
      </c>
      <c r="B1">
        <v>15</v>
      </c>
    </row>
    <row r="2" spans="1:2" x14ac:dyDescent="0.35">
      <c r="A2" t="s">
        <v>87</v>
      </c>
      <c r="B2" s="17">
        <f>SUM(Table2[Price (Total)])</f>
        <v>507.72000000000008</v>
      </c>
    </row>
    <row r="3" spans="1:2" x14ac:dyDescent="0.35">
      <c r="A3" t="s">
        <v>86</v>
      </c>
      <c r="B3">
        <f>B2/B1</f>
        <v>33.848000000000006</v>
      </c>
    </row>
    <row r="27" spans="1:22" x14ac:dyDescent="0.35">
      <c r="A27" t="s">
        <v>48</v>
      </c>
      <c r="B27">
        <v>9</v>
      </c>
      <c r="C27">
        <v>1</v>
      </c>
      <c r="D27">
        <v>2</v>
      </c>
      <c r="E27">
        <v>3</v>
      </c>
      <c r="F27">
        <v>4</v>
      </c>
      <c r="G27">
        <v>5</v>
      </c>
      <c r="H27">
        <v>6</v>
      </c>
      <c r="I27">
        <v>7</v>
      </c>
      <c r="J27">
        <v>8</v>
      </c>
      <c r="K27">
        <v>9</v>
      </c>
      <c r="L27">
        <v>10</v>
      </c>
      <c r="M27">
        <v>11</v>
      </c>
      <c r="N27">
        <v>12</v>
      </c>
      <c r="O27">
        <v>13</v>
      </c>
      <c r="P27">
        <v>14</v>
      </c>
      <c r="Q27">
        <v>15</v>
      </c>
      <c r="R27">
        <v>16</v>
      </c>
      <c r="S27">
        <v>17</v>
      </c>
      <c r="T27">
        <v>18</v>
      </c>
      <c r="U27">
        <v>19</v>
      </c>
      <c r="V27">
        <v>20</v>
      </c>
    </row>
    <row r="28" spans="1:22" x14ac:dyDescent="0.35">
      <c r="A28" t="s">
        <v>92</v>
      </c>
      <c r="B28" s="4">
        <f>B3</f>
        <v>33.848000000000006</v>
      </c>
      <c r="C28" s="4">
        <f t="dataTable" ref="C28:V29" dt2D="0" dtr="1" r1="B1"/>
        <v>226.60000000000002</v>
      </c>
      <c r="D28" s="4">
        <v>113.30000000000001</v>
      </c>
      <c r="E28" s="4">
        <v>75.533333333333346</v>
      </c>
      <c r="F28" s="4">
        <v>56.650000000000006</v>
      </c>
      <c r="G28" s="4">
        <v>49.320000000000007</v>
      </c>
      <c r="H28" s="4">
        <v>53.281666666666673</v>
      </c>
      <c r="I28" s="4">
        <v>45.670000000000009</v>
      </c>
      <c r="J28" s="4">
        <v>40.960000000000008</v>
      </c>
      <c r="K28" s="4">
        <v>39.463333333333338</v>
      </c>
      <c r="L28" s="4">
        <v>35.51700000000001</v>
      </c>
      <c r="M28" s="4">
        <v>44.338181818181823</v>
      </c>
      <c r="N28" s="4">
        <v>40.643333333333338</v>
      </c>
      <c r="O28" s="4">
        <v>39.055384615384625</v>
      </c>
      <c r="P28" s="4">
        <v>36.265714285714289</v>
      </c>
      <c r="Q28" s="4">
        <v>33.848000000000006</v>
      </c>
      <c r="R28" s="4">
        <v>36.800000000000011</v>
      </c>
      <c r="S28" s="4">
        <v>36.252352941176483</v>
      </c>
      <c r="T28" s="4">
        <v>34.238333333333344</v>
      </c>
      <c r="U28" s="4">
        <v>32.436315789473696</v>
      </c>
      <c r="V28" s="4">
        <v>30.81450000000001</v>
      </c>
    </row>
    <row r="29" spans="1:22" x14ac:dyDescent="0.35">
      <c r="A29" t="s">
        <v>93</v>
      </c>
      <c r="B29" s="4">
        <f>B2</f>
        <v>507.72000000000008</v>
      </c>
      <c r="C29" s="4">
        <v>226.60000000000002</v>
      </c>
      <c r="D29" s="4">
        <v>226.60000000000002</v>
      </c>
      <c r="E29" s="4">
        <v>226.60000000000002</v>
      </c>
      <c r="F29" s="4">
        <v>226.60000000000002</v>
      </c>
      <c r="G29" s="4">
        <v>246.60000000000002</v>
      </c>
      <c r="H29" s="4">
        <v>319.69000000000005</v>
      </c>
      <c r="I29" s="4">
        <v>319.69000000000005</v>
      </c>
      <c r="J29" s="4">
        <v>327.68000000000006</v>
      </c>
      <c r="K29" s="4">
        <v>355.17000000000007</v>
      </c>
      <c r="L29" s="4">
        <v>355.17000000000007</v>
      </c>
      <c r="M29" s="4">
        <v>487.72000000000008</v>
      </c>
      <c r="N29" s="4">
        <v>487.72000000000008</v>
      </c>
      <c r="O29" s="4">
        <v>507.72000000000008</v>
      </c>
      <c r="P29" s="4">
        <v>507.72000000000008</v>
      </c>
      <c r="Q29" s="4">
        <v>507.72000000000008</v>
      </c>
      <c r="R29" s="4">
        <v>588.80000000000018</v>
      </c>
      <c r="S29" s="4">
        <v>616.29000000000019</v>
      </c>
      <c r="T29" s="4">
        <v>616.29000000000019</v>
      </c>
      <c r="U29" s="4">
        <v>616.29000000000019</v>
      </c>
      <c r="V29" s="4">
        <v>616.29000000000019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8F602-E526-4B61-ADDD-8B5BDF8344C8}">
  <dimension ref="A1:P25"/>
  <sheetViews>
    <sheetView tabSelected="1" topLeftCell="D18" zoomScale="85" zoomScaleNormal="85" workbookViewId="0">
      <selection activeCell="P22" sqref="P22"/>
    </sheetView>
  </sheetViews>
  <sheetFormatPr defaultColWidth="10.90625" defaultRowHeight="14.5" x14ac:dyDescent="0.35"/>
  <cols>
    <col min="2" max="2" width="19.90625" customWidth="1"/>
    <col min="3" max="3" width="19.81640625" customWidth="1"/>
    <col min="4" max="4" width="15.6328125" customWidth="1"/>
    <col min="5" max="5" width="27.81640625" customWidth="1"/>
    <col min="7" max="7" width="20.6328125" customWidth="1"/>
    <col min="8" max="8" width="16.90625" customWidth="1"/>
    <col min="9" max="9" width="15.54296875" customWidth="1"/>
    <col min="10" max="11" width="15.54296875" style="17" customWidth="1"/>
  </cols>
  <sheetData>
    <row r="1" spans="1:16" x14ac:dyDescent="0.35">
      <c r="A1" t="s">
        <v>12</v>
      </c>
      <c r="B1" t="s">
        <v>13</v>
      </c>
      <c r="C1" t="s">
        <v>35</v>
      </c>
      <c r="D1" t="s">
        <v>80</v>
      </c>
      <c r="E1" t="s">
        <v>36</v>
      </c>
      <c r="F1" t="s">
        <v>90</v>
      </c>
      <c r="G1" t="s">
        <v>26</v>
      </c>
      <c r="H1" t="s">
        <v>2</v>
      </c>
      <c r="I1" t="s">
        <v>25</v>
      </c>
      <c r="J1" s="17" t="s">
        <v>88</v>
      </c>
      <c r="K1" s="17" t="s">
        <v>89</v>
      </c>
      <c r="L1" t="s">
        <v>11</v>
      </c>
      <c r="M1" t="s">
        <v>81</v>
      </c>
      <c r="N1" t="s">
        <v>83</v>
      </c>
      <c r="O1" t="s">
        <v>99</v>
      </c>
      <c r="P1" t="s">
        <v>109</v>
      </c>
    </row>
    <row r="2" spans="1:16" ht="80" customHeight="1" x14ac:dyDescent="0.35">
      <c r="A2" s="13" t="s">
        <v>14</v>
      </c>
      <c r="B2" s="13" t="s">
        <v>17</v>
      </c>
      <c r="C2" s="11" t="s">
        <v>0</v>
      </c>
      <c r="D2" s="12" t="e" vm="1">
        <v>#VALUE!</v>
      </c>
      <c r="E2" s="16" t="s">
        <v>1</v>
      </c>
      <c r="F2" s="11">
        <v>18.989999999999998</v>
      </c>
      <c r="G2" s="11">
        <v>5</v>
      </c>
      <c r="H2" s="11">
        <v>1</v>
      </c>
      <c r="I2" s="14">
        <f t="shared" ref="I2:I21" si="0">F2 * (H2/G2)</f>
        <v>3.798</v>
      </c>
      <c r="J2" s="18">
        <f>ROUNDUP((Table2[[#This Row],[Pro Boot Benötigt]]/Table2[[#This Row],[Quantity (In Package)]]) * Input!$B$1,0)</f>
        <v>3</v>
      </c>
      <c r="K2" s="18">
        <f>Table2[[#This Row],[Price (per Package)]]*Table2[[#This Row],[Quantity (min Packages)]]</f>
        <v>56.97</v>
      </c>
      <c r="L2" s="15" t="s">
        <v>61</v>
      </c>
      <c r="M2" s="11"/>
      <c r="N2" s="11"/>
      <c r="O2" s="11"/>
      <c r="P2" s="11" t="s">
        <v>100</v>
      </c>
    </row>
    <row r="3" spans="1:16" ht="80" customHeight="1" x14ac:dyDescent="0.35">
      <c r="A3" s="13" t="s">
        <v>63</v>
      </c>
      <c r="B3" s="13" t="s">
        <v>18</v>
      </c>
      <c r="C3" s="11" t="s">
        <v>8</v>
      </c>
      <c r="D3" s="12" t="e" vm="2">
        <v>#VALUE!</v>
      </c>
      <c r="E3" s="16" t="s">
        <v>41</v>
      </c>
      <c r="F3" s="11">
        <v>5.99</v>
      </c>
      <c r="G3" s="11">
        <v>5</v>
      </c>
      <c r="H3" s="11">
        <v>1</v>
      </c>
      <c r="I3" s="14">
        <f t="shared" si="0"/>
        <v>1.1980000000000002</v>
      </c>
      <c r="J3" s="18">
        <f>ROUNDUP((Table2[[#This Row],[Pro Boot Benötigt]]/Table2[[#This Row],[Quantity (In Package)]]) * Input!$B$1,0)</f>
        <v>3</v>
      </c>
      <c r="K3" s="18">
        <f>Table2[[#This Row],[Price (per Package)]]*Table2[[#This Row],[Quantity (min Packages)]]</f>
        <v>17.97</v>
      </c>
      <c r="L3" s="15" t="s">
        <v>60</v>
      </c>
      <c r="M3" s="11"/>
      <c r="N3" s="11"/>
      <c r="O3" s="11"/>
      <c r="P3" s="11" t="s">
        <v>100</v>
      </c>
    </row>
    <row r="4" spans="1:16" ht="80" customHeight="1" x14ac:dyDescent="0.35">
      <c r="A4" s="13" t="s">
        <v>62</v>
      </c>
      <c r="B4" s="13" t="s">
        <v>18</v>
      </c>
      <c r="C4" s="11" t="s">
        <v>107</v>
      </c>
      <c r="D4" s="12" t="e" vm="3">
        <v>#VALUE!</v>
      </c>
      <c r="E4" s="16" t="s">
        <v>94</v>
      </c>
      <c r="F4" s="11">
        <v>14.99</v>
      </c>
      <c r="G4" s="11">
        <v>10</v>
      </c>
      <c r="H4" s="11">
        <v>2</v>
      </c>
      <c r="I4" s="14">
        <f t="shared" si="0"/>
        <v>2.9980000000000002</v>
      </c>
      <c r="J4" s="18">
        <f>ROUNDUP((Table2[[#This Row],[Pro Boot Benötigt]]/Table2[[#This Row],[Quantity (In Package)]]) * Input!$B$1,0)</f>
        <v>3</v>
      </c>
      <c r="K4" s="18">
        <f>Table2[[#This Row],[Price (per Package)]]*Table2[[#This Row],[Quantity (min Packages)]]</f>
        <v>44.97</v>
      </c>
      <c r="L4" s="15" t="s">
        <v>104</v>
      </c>
      <c r="M4" s="11"/>
      <c r="N4" s="11"/>
      <c r="O4" s="11" t="s">
        <v>100</v>
      </c>
      <c r="P4" s="11" t="s">
        <v>100</v>
      </c>
    </row>
    <row r="5" spans="1:16" ht="80" customHeight="1" x14ac:dyDescent="0.35">
      <c r="A5" s="13" t="s">
        <v>105</v>
      </c>
      <c r="B5" s="13" t="s">
        <v>18</v>
      </c>
      <c r="C5" s="11" t="s">
        <v>106</v>
      </c>
      <c r="D5" s="12"/>
      <c r="E5" s="16"/>
      <c r="F5" s="11">
        <v>7.49</v>
      </c>
      <c r="G5" s="11">
        <v>16</v>
      </c>
      <c r="H5" s="11">
        <v>2</v>
      </c>
      <c r="I5" s="14">
        <f>F5 * (H5/G5)</f>
        <v>0.93625000000000003</v>
      </c>
      <c r="J5" s="18">
        <f>ROUNDUP((Table2[[#This Row],[Pro Boot Benötigt]]/Table2[[#This Row],[Quantity (In Package)]]) * Input!$B$1,0)</f>
        <v>2</v>
      </c>
      <c r="K5" s="18">
        <f>Table2[[#This Row],[Price (per Package)]]*Table2[[#This Row],[Quantity (min Packages)]]</f>
        <v>14.98</v>
      </c>
      <c r="L5" s="15" t="s">
        <v>108</v>
      </c>
      <c r="M5" s="11"/>
      <c r="N5" s="11"/>
      <c r="O5" s="11"/>
      <c r="P5" s="11" t="s">
        <v>100</v>
      </c>
    </row>
    <row r="6" spans="1:16" ht="80" customHeight="1" x14ac:dyDescent="0.35">
      <c r="A6" s="13" t="s">
        <v>64</v>
      </c>
      <c r="B6" s="13" t="s">
        <v>19</v>
      </c>
      <c r="C6" s="11" t="s">
        <v>27</v>
      </c>
      <c r="D6" s="12" t="e" vm="4">
        <v>#VALUE!</v>
      </c>
      <c r="E6" s="16" t="s">
        <v>42</v>
      </c>
      <c r="F6" s="11">
        <v>12.99</v>
      </c>
      <c r="G6" s="11">
        <v>10</v>
      </c>
      <c r="H6" s="11">
        <v>1</v>
      </c>
      <c r="I6" s="14">
        <f t="shared" si="0"/>
        <v>1.2990000000000002</v>
      </c>
      <c r="J6" s="18">
        <f>ROUNDUP((Table2[[#This Row],[Pro Boot Benötigt]]/Table2[[#This Row],[Quantity (In Package)]]) * Input!$B$1,0)</f>
        <v>2</v>
      </c>
      <c r="K6" s="18">
        <f>Table2[[#This Row],[Price (per Package)]]*Table2[[#This Row],[Quantity (min Packages)]]</f>
        <v>25.98</v>
      </c>
      <c r="L6" s="15" t="s">
        <v>103</v>
      </c>
      <c r="M6" s="15" t="s">
        <v>82</v>
      </c>
      <c r="N6" s="15" t="s">
        <v>84</v>
      </c>
      <c r="O6" s="11" t="s">
        <v>100</v>
      </c>
      <c r="P6" s="11" t="s">
        <v>100</v>
      </c>
    </row>
    <row r="7" spans="1:16" ht="80" customHeight="1" x14ac:dyDescent="0.35">
      <c r="A7" s="13" t="s">
        <v>65</v>
      </c>
      <c r="B7" s="13" t="s">
        <v>19</v>
      </c>
      <c r="C7" s="11" t="s">
        <v>28</v>
      </c>
      <c r="D7" s="12" t="e" vm="5">
        <v>#VALUE!</v>
      </c>
      <c r="E7" s="16" t="s">
        <v>43</v>
      </c>
      <c r="F7" s="11">
        <v>7.49</v>
      </c>
      <c r="G7" s="11">
        <v>10</v>
      </c>
      <c r="H7" s="11">
        <v>2</v>
      </c>
      <c r="I7" s="14">
        <f t="shared" si="0"/>
        <v>1.4980000000000002</v>
      </c>
      <c r="J7" s="18">
        <f>ROUNDUP((Table2[[#This Row],[Pro Boot Benötigt]]/Table2[[#This Row],[Quantity (In Package)]]) * Input!$B$1,0)</f>
        <v>3</v>
      </c>
      <c r="K7" s="18">
        <f>Table2[[#This Row],[Price (per Package)]]*Table2[[#This Row],[Quantity (min Packages)]]</f>
        <v>22.47</v>
      </c>
      <c r="L7" s="15" t="s">
        <v>59</v>
      </c>
      <c r="M7" s="11"/>
      <c r="N7" s="11"/>
      <c r="O7" s="11"/>
      <c r="P7" s="11" t="s">
        <v>100</v>
      </c>
    </row>
    <row r="8" spans="1:16" ht="80" customHeight="1" x14ac:dyDescent="0.35">
      <c r="A8" s="13" t="s">
        <v>70</v>
      </c>
      <c r="B8" s="13" t="s">
        <v>19</v>
      </c>
      <c r="C8" s="11" t="s">
        <v>29</v>
      </c>
      <c r="D8" s="12" t="e" vm="6">
        <v>#VALUE!</v>
      </c>
      <c r="E8" s="16" t="s">
        <v>85</v>
      </c>
      <c r="F8" s="11">
        <v>8</v>
      </c>
      <c r="G8" s="11">
        <v>10</v>
      </c>
      <c r="H8" s="11">
        <v>1</v>
      </c>
      <c r="I8" s="14">
        <f t="shared" si="0"/>
        <v>0.8</v>
      </c>
      <c r="J8" s="18">
        <f>ROUNDUP((Table2[[#This Row],[Pro Boot Benötigt]]/Table2[[#This Row],[Quantity (In Package)]]) * Input!$B$1,0)</f>
        <v>2</v>
      </c>
      <c r="K8" s="18">
        <f>Table2[[#This Row],[Price (per Package)]]*Table2[[#This Row],[Quantity (min Packages)]]</f>
        <v>16</v>
      </c>
      <c r="L8" s="15" t="s">
        <v>47</v>
      </c>
      <c r="M8" s="11"/>
      <c r="N8" s="11"/>
      <c r="O8" s="11"/>
      <c r="P8" s="11" t="s">
        <v>100</v>
      </c>
    </row>
    <row r="9" spans="1:16" ht="80" customHeight="1" x14ac:dyDescent="0.35">
      <c r="A9" s="13" t="s">
        <v>71</v>
      </c>
      <c r="B9" s="13" t="s">
        <v>19</v>
      </c>
      <c r="C9" s="11" t="s">
        <v>30</v>
      </c>
      <c r="D9" s="12" t="e" vm="7">
        <v>#VALUE!</v>
      </c>
      <c r="E9" s="16" t="s">
        <v>44</v>
      </c>
      <c r="F9" s="11">
        <v>17.09</v>
      </c>
      <c r="G9" s="11">
        <v>5</v>
      </c>
      <c r="H9" s="11">
        <v>1</v>
      </c>
      <c r="I9" s="14">
        <f t="shared" si="0"/>
        <v>3.4180000000000001</v>
      </c>
      <c r="J9" s="18">
        <f>ROUNDUP((Table2[[#This Row],[Pro Boot Benötigt]]/Table2[[#This Row],[Quantity (In Package)]]) * Input!$B$1,0)</f>
        <v>3</v>
      </c>
      <c r="K9" s="18">
        <f>Table2[[#This Row],[Price (per Package)]]*Table2[[#This Row],[Quantity (min Packages)]]</f>
        <v>51.269999999999996</v>
      </c>
      <c r="L9" s="15" t="s">
        <v>58</v>
      </c>
      <c r="M9" s="11"/>
      <c r="N9" s="11"/>
      <c r="O9" s="11"/>
      <c r="P9" s="11" t="s">
        <v>100</v>
      </c>
    </row>
    <row r="10" spans="1:16" ht="80" customHeight="1" x14ac:dyDescent="0.35">
      <c r="A10" s="13" t="s">
        <v>66</v>
      </c>
      <c r="B10" s="13" t="s">
        <v>20</v>
      </c>
      <c r="C10" s="11" t="s">
        <v>31</v>
      </c>
      <c r="D10" s="12" t="e" vm="8">
        <v>#VALUE!</v>
      </c>
      <c r="E10" s="16" t="s">
        <v>3</v>
      </c>
      <c r="F10" s="11">
        <v>15.99</v>
      </c>
      <c r="G10" s="11">
        <v>10</v>
      </c>
      <c r="H10" s="11">
        <v>1</v>
      </c>
      <c r="I10" s="14">
        <f t="shared" si="0"/>
        <v>1.5990000000000002</v>
      </c>
      <c r="J10" s="18">
        <f>ROUNDUP((Table2[[#This Row],[Pro Boot Benötigt]]/Table2[[#This Row],[Quantity (In Package)]]) * Input!$B$1,0)</f>
        <v>2</v>
      </c>
      <c r="K10" s="18">
        <f>Table2[[#This Row],[Price (per Package)]]*Table2[[#This Row],[Quantity (min Packages)]]</f>
        <v>31.98</v>
      </c>
      <c r="L10" s="15" t="s">
        <v>57</v>
      </c>
      <c r="M10" s="11"/>
      <c r="N10" s="11"/>
      <c r="O10" s="11">
        <v>1</v>
      </c>
      <c r="P10" s="11" t="s">
        <v>110</v>
      </c>
    </row>
    <row r="11" spans="1:16" ht="80" customHeight="1" x14ac:dyDescent="0.35">
      <c r="A11" s="13" t="s">
        <v>67</v>
      </c>
      <c r="B11" s="13" t="s">
        <v>20</v>
      </c>
      <c r="C11" s="11" t="s">
        <v>32</v>
      </c>
      <c r="D11" s="12" t="e" vm="9">
        <v>#VALUE!</v>
      </c>
      <c r="E11" s="16" t="s">
        <v>4</v>
      </c>
      <c r="F11" s="11">
        <v>7.99</v>
      </c>
      <c r="G11" s="11">
        <v>10</v>
      </c>
      <c r="H11" s="11">
        <v>1</v>
      </c>
      <c r="I11" s="14">
        <f t="shared" si="0"/>
        <v>0.79900000000000004</v>
      </c>
      <c r="J11" s="18">
        <f>ROUNDUP((Table2[[#This Row],[Pro Boot Benötigt]]/Table2[[#This Row],[Quantity (In Package)]]) * Input!$B$1,0)</f>
        <v>2</v>
      </c>
      <c r="K11" s="18">
        <f>Table2[[#This Row],[Price (per Package)]]*Table2[[#This Row],[Quantity (min Packages)]]</f>
        <v>15.98</v>
      </c>
      <c r="L11" s="15" t="s">
        <v>56</v>
      </c>
      <c r="M11" s="11"/>
      <c r="N11" s="11"/>
      <c r="O11" s="11"/>
      <c r="P11" s="11" t="s">
        <v>100</v>
      </c>
    </row>
    <row r="12" spans="1:16" ht="80" customHeight="1" x14ac:dyDescent="0.35">
      <c r="A12" s="13" t="s">
        <v>74</v>
      </c>
      <c r="B12" s="13" t="s">
        <v>20</v>
      </c>
      <c r="C12" s="11" t="s">
        <v>33</v>
      </c>
      <c r="D12" s="12" t="e" vm="10">
        <v>#VALUE!</v>
      </c>
      <c r="E12" s="16" t="s">
        <v>5</v>
      </c>
      <c r="F12" s="11">
        <v>7.79</v>
      </c>
      <c r="G12" s="11">
        <v>50</v>
      </c>
      <c r="H12" s="11">
        <v>2</v>
      </c>
      <c r="I12" s="14">
        <f t="shared" si="0"/>
        <v>0.31159999999999999</v>
      </c>
      <c r="J12" s="18">
        <f>ROUNDUP((Table2[[#This Row],[Pro Boot Benötigt]]/Table2[[#This Row],[Quantity (In Package)]]) * Input!$B$1,0)</f>
        <v>1</v>
      </c>
      <c r="K12" s="18">
        <f>Table2[[#This Row],[Price (per Package)]]*Table2[[#This Row],[Quantity (min Packages)]]</f>
        <v>7.79</v>
      </c>
      <c r="L12" s="15" t="s">
        <v>55</v>
      </c>
      <c r="M12" s="11"/>
      <c r="N12" s="11"/>
      <c r="O12" s="11"/>
      <c r="P12" s="11" t="s">
        <v>100</v>
      </c>
    </row>
    <row r="13" spans="1:16" ht="80" customHeight="1" x14ac:dyDescent="0.35">
      <c r="A13" s="13" t="s">
        <v>73</v>
      </c>
      <c r="B13" s="13" t="s">
        <v>20</v>
      </c>
      <c r="C13" s="11" t="s">
        <v>34</v>
      </c>
      <c r="D13" s="12" t="e" vm="11">
        <v>#VALUE!</v>
      </c>
      <c r="E13" s="16" t="s">
        <v>96</v>
      </c>
      <c r="F13" s="11">
        <v>9.5</v>
      </c>
      <c r="G13" s="11">
        <v>1</v>
      </c>
      <c r="H13" s="11">
        <v>0.1</v>
      </c>
      <c r="I13" s="14">
        <f t="shared" si="0"/>
        <v>0.95000000000000007</v>
      </c>
      <c r="J13" s="18">
        <f>ROUNDUP((Table2[[#This Row],[Pro Boot Benötigt]]/Table2[[#This Row],[Quantity (In Package)]]) * Input!$B$1,0)</f>
        <v>2</v>
      </c>
      <c r="K13" s="18">
        <f>Table2[[#This Row],[Price (per Package)]]*Table2[[#This Row],[Quantity (min Packages)]]</f>
        <v>19</v>
      </c>
      <c r="L13" s="15" t="s">
        <v>95</v>
      </c>
      <c r="M13" s="11"/>
      <c r="N13" s="11"/>
      <c r="O13" s="11">
        <v>1</v>
      </c>
      <c r="P13" s="11" t="s">
        <v>100</v>
      </c>
    </row>
    <row r="14" spans="1:16" ht="80" customHeight="1" x14ac:dyDescent="0.35">
      <c r="A14" s="13" t="s">
        <v>72</v>
      </c>
      <c r="B14" s="13" t="s">
        <v>20</v>
      </c>
      <c r="C14" s="11" t="s">
        <v>7</v>
      </c>
      <c r="D14" s="12" t="e" vm="12">
        <v>#VALUE!</v>
      </c>
      <c r="E14" s="16"/>
      <c r="F14" s="11">
        <v>8.5399999999999991</v>
      </c>
      <c r="G14" s="11">
        <v>5</v>
      </c>
      <c r="H14" s="11">
        <v>1</v>
      </c>
      <c r="I14" s="14">
        <f t="shared" si="0"/>
        <v>1.708</v>
      </c>
      <c r="J14" s="18">
        <f>ROUNDUP((Table2[[#This Row],[Pro Boot Benötigt]]/Table2[[#This Row],[Quantity (In Package)]]) * Input!$B$1,0)</f>
        <v>3</v>
      </c>
      <c r="K14" s="18">
        <f>Table2[[#This Row],[Price (per Package)]]*Table2[[#This Row],[Quantity (min Packages)]]</f>
        <v>25.619999999999997</v>
      </c>
      <c r="L14" s="15" t="s">
        <v>52</v>
      </c>
      <c r="M14" s="11"/>
      <c r="N14" s="11"/>
      <c r="O14" s="11"/>
      <c r="P14" s="11" t="s">
        <v>100</v>
      </c>
    </row>
    <row r="15" spans="1:16" ht="80" customHeight="1" x14ac:dyDescent="0.35">
      <c r="A15" s="13" t="s">
        <v>75</v>
      </c>
      <c r="B15" s="13" t="s">
        <v>20</v>
      </c>
      <c r="C15" s="11" t="s">
        <v>45</v>
      </c>
      <c r="D15" s="12" t="e" vm="13">
        <v>#VALUE!</v>
      </c>
      <c r="E15" s="16" t="s">
        <v>46</v>
      </c>
      <c r="F15" s="11">
        <v>4.99</v>
      </c>
      <c r="G15" s="11">
        <v>10</v>
      </c>
      <c r="H15" s="11">
        <v>1</v>
      </c>
      <c r="I15" s="14">
        <f t="shared" si="0"/>
        <v>0.49900000000000005</v>
      </c>
      <c r="J15" s="18">
        <f>ROUNDUP((Table2[[#This Row],[Pro Boot Benötigt]]/Table2[[#This Row],[Quantity (In Package)]]) * Input!$B$1,0)</f>
        <v>2</v>
      </c>
      <c r="K15" s="18">
        <f>Table2[[#This Row],[Price (per Package)]]*Table2[[#This Row],[Quantity (min Packages)]]</f>
        <v>9.98</v>
      </c>
      <c r="L15" s="15" t="s">
        <v>51</v>
      </c>
      <c r="M15" s="11"/>
      <c r="N15" s="11"/>
      <c r="O15" s="11"/>
      <c r="P15" s="11" t="s">
        <v>100</v>
      </c>
    </row>
    <row r="16" spans="1:16" ht="80" customHeight="1" x14ac:dyDescent="0.35">
      <c r="A16" s="13" t="s">
        <v>76</v>
      </c>
      <c r="B16" s="13" t="s">
        <v>21</v>
      </c>
      <c r="C16" s="11" t="s">
        <v>6</v>
      </c>
      <c r="D16" s="12" t="e" vm="14">
        <v>#VALUE!</v>
      </c>
      <c r="E16" s="16"/>
      <c r="F16" s="11">
        <v>27.99</v>
      </c>
      <c r="G16" s="11">
        <v>300</v>
      </c>
      <c r="H16" s="11">
        <v>8</v>
      </c>
      <c r="I16" s="14">
        <f>F16 * (H16/G16)</f>
        <v>0.74639999999999995</v>
      </c>
      <c r="J16" s="18">
        <f>ROUNDUP((Table2[[#This Row],[Pro Boot Benötigt]]/Table2[[#This Row],[Quantity (In Package)]]) * Input!$B$1,0)</f>
        <v>1</v>
      </c>
      <c r="K16" s="18">
        <f>Table2[[#This Row],[Price (per Package)]]*Table2[[#This Row],[Quantity (min Packages)]]</f>
        <v>27.99</v>
      </c>
      <c r="L16" s="15" t="s">
        <v>101</v>
      </c>
      <c r="M16" s="11"/>
      <c r="N16" s="11"/>
      <c r="O16" s="11"/>
      <c r="P16" s="11" t="s">
        <v>100</v>
      </c>
    </row>
    <row r="17" spans="1:16" ht="80" customHeight="1" x14ac:dyDescent="0.35">
      <c r="A17" s="13" t="s">
        <v>77</v>
      </c>
      <c r="B17" s="13" t="s">
        <v>23</v>
      </c>
      <c r="C17" s="11" t="s">
        <v>10</v>
      </c>
      <c r="D17" s="12" t="e" vm="15">
        <v>#VALUE!</v>
      </c>
      <c r="E17" s="16"/>
      <c r="F17" s="11">
        <v>20</v>
      </c>
      <c r="G17" s="11">
        <v>1000</v>
      </c>
      <c r="H17" s="11">
        <v>250</v>
      </c>
      <c r="I17" s="14">
        <f t="shared" si="0"/>
        <v>5</v>
      </c>
      <c r="J17" s="18">
        <f>ROUNDUP((Table2[[#This Row],[Pro Boot Benötigt]]/Table2[[#This Row],[Quantity (In Package)]]) * Input!$B$1,0)</f>
        <v>4</v>
      </c>
      <c r="K17" s="18">
        <f>Table2[[#This Row],[Price (per Package)]]*Table2[[#This Row],[Quantity (min Packages)]]</f>
        <v>80</v>
      </c>
      <c r="L17" s="15" t="s">
        <v>49</v>
      </c>
      <c r="M17" s="11"/>
      <c r="N17" s="11"/>
      <c r="O17" s="11" t="s">
        <v>102</v>
      </c>
      <c r="P17" s="11" t="s">
        <v>100</v>
      </c>
    </row>
    <row r="18" spans="1:16" ht="80" customHeight="1" x14ac:dyDescent="0.35">
      <c r="A18" s="13" t="s">
        <v>69</v>
      </c>
      <c r="B18" s="13" t="s">
        <v>24</v>
      </c>
      <c r="C18" s="11" t="s">
        <v>37</v>
      </c>
      <c r="D18" s="12" t="e" vm="16">
        <v>#VALUE!</v>
      </c>
      <c r="E18" s="16" t="s">
        <v>9</v>
      </c>
      <c r="F18" s="11">
        <v>5.99</v>
      </c>
      <c r="G18" s="11">
        <v>100</v>
      </c>
      <c r="H18" s="11">
        <v>2</v>
      </c>
      <c r="I18" s="14">
        <f t="shared" si="0"/>
        <v>0.1198</v>
      </c>
      <c r="J18" s="18">
        <f>ROUNDUP((Table2[[#This Row],[Pro Boot Benötigt]]/Table2[[#This Row],[Quantity (In Package)]]) * Input!$B$1,0)</f>
        <v>1</v>
      </c>
      <c r="K18" s="18">
        <f>Table2[[#This Row],[Price (per Package)]]*Table2[[#This Row],[Quantity (min Packages)]]</f>
        <v>5.99</v>
      </c>
      <c r="L18" s="15" t="s">
        <v>91</v>
      </c>
      <c r="M18" s="11"/>
      <c r="N18" s="11"/>
      <c r="O18" s="11"/>
      <c r="P18" s="11" t="s">
        <v>100</v>
      </c>
    </row>
    <row r="19" spans="1:16" ht="80" customHeight="1" x14ac:dyDescent="0.35">
      <c r="A19" s="13" t="s">
        <v>68</v>
      </c>
      <c r="B19" s="13" t="s">
        <v>24</v>
      </c>
      <c r="C19" s="11" t="s">
        <v>38</v>
      </c>
      <c r="D19" s="12" t="e" vm="17">
        <v>#VALUE!</v>
      </c>
      <c r="E19" s="16"/>
      <c r="F19" s="11">
        <v>7.99</v>
      </c>
      <c r="G19" s="11">
        <v>15</v>
      </c>
      <c r="H19" s="11">
        <v>2</v>
      </c>
      <c r="I19" s="14">
        <f t="shared" si="0"/>
        <v>1.0653333333333332</v>
      </c>
      <c r="J19" s="18">
        <f>ROUNDUP((Table2[[#This Row],[Pro Boot Benötigt]]/Table2[[#This Row],[Quantity (In Package)]]) * Input!$B$1,0)</f>
        <v>2</v>
      </c>
      <c r="K19" s="18">
        <f>Table2[[#This Row],[Price (per Package)]]*Table2[[#This Row],[Quantity (min Packages)]]</f>
        <v>15.98</v>
      </c>
      <c r="L19" s="15" t="s">
        <v>50</v>
      </c>
      <c r="M19" s="11"/>
      <c r="N19" s="15"/>
      <c r="O19" s="11"/>
      <c r="P19" s="11" t="s">
        <v>100</v>
      </c>
    </row>
    <row r="20" spans="1:16" ht="80" customHeight="1" x14ac:dyDescent="0.35">
      <c r="A20" s="13" t="s">
        <v>78</v>
      </c>
      <c r="B20" s="13" t="s">
        <v>24</v>
      </c>
      <c r="C20" s="11" t="s">
        <v>39</v>
      </c>
      <c r="D20" s="12" t="e" vm="18">
        <v>#VALUE!</v>
      </c>
      <c r="E20" s="16" t="s">
        <v>97</v>
      </c>
      <c r="F20" s="11">
        <v>5.69</v>
      </c>
      <c r="G20" s="11">
        <v>50</v>
      </c>
      <c r="H20" s="11">
        <v>1</v>
      </c>
      <c r="I20" s="14">
        <f t="shared" si="0"/>
        <v>0.11380000000000001</v>
      </c>
      <c r="J20" s="18">
        <f>ROUNDUP((Table2[[#This Row],[Pro Boot Benötigt]]/Table2[[#This Row],[Quantity (In Package)]]) * Input!$B$1,0)</f>
        <v>1</v>
      </c>
      <c r="K20" s="18">
        <f>Table2[[#This Row],[Price (per Package)]]*Table2[[#This Row],[Quantity (min Packages)]]</f>
        <v>5.69</v>
      </c>
      <c r="L20" s="15" t="s">
        <v>53</v>
      </c>
      <c r="M20" s="11"/>
      <c r="N20" s="11"/>
      <c r="O20" s="11"/>
      <c r="P20" s="11" t="s">
        <v>100</v>
      </c>
    </row>
    <row r="21" spans="1:16" ht="80" customHeight="1" x14ac:dyDescent="0.35">
      <c r="A21" s="13" t="s">
        <v>79</v>
      </c>
      <c r="B21" s="13" t="s">
        <v>24</v>
      </c>
      <c r="C21" s="11" t="s">
        <v>40</v>
      </c>
      <c r="D21" s="12" t="e" vm="19">
        <v>#VALUE!</v>
      </c>
      <c r="E21" s="16" t="s">
        <v>98</v>
      </c>
      <c r="F21" s="11">
        <v>11.11</v>
      </c>
      <c r="G21" s="11">
        <v>50</v>
      </c>
      <c r="H21" s="11">
        <v>1</v>
      </c>
      <c r="I21" s="14">
        <f t="shared" si="0"/>
        <v>0.22219999999999998</v>
      </c>
      <c r="J21" s="18">
        <f>ROUNDUP((Table2[[#This Row],[Pro Boot Benötigt]]/Table2[[#This Row],[Quantity (In Package)]]) * Input!$B$1,0)</f>
        <v>1</v>
      </c>
      <c r="K21" s="18">
        <f>Table2[[#This Row],[Price (per Package)]]*Table2[[#This Row],[Quantity (min Packages)]]</f>
        <v>11.11</v>
      </c>
      <c r="L21" s="15" t="s">
        <v>54</v>
      </c>
      <c r="M21" s="11"/>
      <c r="N21" s="11"/>
      <c r="O21" s="11"/>
      <c r="P21" s="11" t="s">
        <v>100</v>
      </c>
    </row>
    <row r="22" spans="1:16" x14ac:dyDescent="0.35">
      <c r="I22" s="4"/>
    </row>
    <row r="23" spans="1:16" x14ac:dyDescent="0.35">
      <c r="I23" s="4"/>
    </row>
    <row r="24" spans="1:16" x14ac:dyDescent="0.35">
      <c r="I24" s="4"/>
    </row>
    <row r="25" spans="1:16" x14ac:dyDescent="0.35">
      <c r="I25" s="4"/>
    </row>
  </sheetData>
  <phoneticPr fontId="2" type="noConversion"/>
  <hyperlinks>
    <hyperlink ref="L3" r:id="rId1" xr:uid="{F05B1A74-CABD-4AE8-A4B8-01831FBBF626}"/>
    <hyperlink ref="L4" r:id="rId2" xr:uid="{84BF6714-0C96-4E85-9771-4BA6D27AEAF4}"/>
    <hyperlink ref="L15" r:id="rId3" xr:uid="{99FFD0C2-E672-40F8-94DB-70E8E007549D}"/>
    <hyperlink ref="L11" r:id="rId4" xr:uid="{5AA0F2CF-CD6B-476B-9FDF-3A79DAD6DFB4}"/>
    <hyperlink ref="L13" r:id="rId5" xr:uid="{786EBD27-FB4A-407D-82D0-AC19F676E969}"/>
    <hyperlink ref="L8" r:id="rId6" xr:uid="{092D45E8-DC9A-4400-9D31-CAE894C7EBE3}"/>
    <hyperlink ref="L17" r:id="rId7" xr:uid="{1E634E3B-36AF-4D2B-B510-6606D4650195}"/>
    <hyperlink ref="L16" r:id="rId8" xr:uid="{C0DFD63F-A268-4CF7-844F-0546E92EBFFA}"/>
    <hyperlink ref="L18" r:id="rId9" xr:uid="{10BAA701-AB49-4343-B08C-F67B716BB794}"/>
    <hyperlink ref="L14" r:id="rId10" xr:uid="{52DD626C-033F-41B8-BCD8-AFCE0A26BDE4}"/>
    <hyperlink ref="L20" r:id="rId11" xr:uid="{1B055374-164E-49B8-8E28-81ADA53DFCD0}"/>
    <hyperlink ref="L21" r:id="rId12" xr:uid="{239A4B5A-1445-48AD-AE70-973FF8076509}"/>
    <hyperlink ref="L12" r:id="rId13" xr:uid="{E109C843-CFB9-4643-8D29-73D76BCE626B}"/>
    <hyperlink ref="L10" r:id="rId14" xr:uid="{5FBD8EE6-0844-4C5D-985A-BE08D21C324A}"/>
    <hyperlink ref="L9" r:id="rId15" xr:uid="{745631F3-8865-44CD-A4E4-C864DFE4BFD7}"/>
    <hyperlink ref="L7" r:id="rId16" xr:uid="{0E754A54-CBEF-4B88-BC5B-90E91AC6965E}"/>
    <hyperlink ref="L6" r:id="rId17" xr:uid="{CA214AC9-D7F4-4A82-9468-02DBE68DCBF5}"/>
    <hyperlink ref="L2" r:id="rId18" xr:uid="{C032833F-8227-424D-A6F8-ECC492B98EF9}"/>
    <hyperlink ref="M6" r:id="rId19" xr:uid="{1C79CFFA-1898-40C2-B88E-EBA2C7CF6941}"/>
    <hyperlink ref="N6" r:id="rId20" xr:uid="{8A12515C-0F52-4BDE-A9DC-DB3974D639E2}"/>
    <hyperlink ref="L19" r:id="rId21" xr:uid="{74566F0A-043C-4FED-B2ED-5961C747F2B5}"/>
    <hyperlink ref="L5" r:id="rId22" xr:uid="{5F4D58FE-928E-42E2-B694-E31F0B1C5DE9}"/>
  </hyperlinks>
  <pageMargins left="0.7" right="0.7" top="0.78740157499999996" bottom="0.78740157499999996" header="0.3" footer="0.3"/>
  <tableParts count="1">
    <tablePart r:id="rId2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F89B7E-E2D3-4D00-8F08-A3DF65608B5B}">
          <x14:formula1>
            <xm:f>'Component Groups'!$A$2:$A$9</xm:f>
          </x14:formula1>
          <xm:sqref>B2:B21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B4A21-43A3-48DE-A417-5B09416D8DDF}">
  <dimension ref="A1:C9"/>
  <sheetViews>
    <sheetView workbookViewId="0">
      <selection activeCell="B16" sqref="B16"/>
    </sheetView>
  </sheetViews>
  <sheetFormatPr defaultColWidth="10.90625" defaultRowHeight="14.5" x14ac:dyDescent="0.35"/>
  <cols>
    <col min="1" max="1" width="18" customWidth="1"/>
    <col min="3" max="3" width="28.453125" customWidth="1"/>
  </cols>
  <sheetData>
    <row r="1" spans="1:3" x14ac:dyDescent="0.35">
      <c r="A1" s="2" t="s">
        <v>15</v>
      </c>
      <c r="B1" s="2" t="s">
        <v>12</v>
      </c>
      <c r="C1" s="2" t="s">
        <v>13</v>
      </c>
    </row>
    <row r="2" spans="1:3" x14ac:dyDescent="0.35">
      <c r="A2" s="5" t="s">
        <v>17</v>
      </c>
      <c r="B2" s="3">
        <v>1</v>
      </c>
      <c r="C2" s="1"/>
    </row>
    <row r="3" spans="1:3" x14ac:dyDescent="0.35">
      <c r="A3" s="6" t="s">
        <v>18</v>
      </c>
      <c r="B3" s="3">
        <v>2</v>
      </c>
      <c r="C3" s="1" t="s">
        <v>16</v>
      </c>
    </row>
    <row r="4" spans="1:3" x14ac:dyDescent="0.35">
      <c r="A4" s="1" t="s">
        <v>19</v>
      </c>
      <c r="B4" s="3">
        <v>3</v>
      </c>
      <c r="C4" s="1" t="s">
        <v>16</v>
      </c>
    </row>
    <row r="5" spans="1:3" x14ac:dyDescent="0.35">
      <c r="A5" s="7" t="s">
        <v>20</v>
      </c>
      <c r="B5" s="3">
        <v>4</v>
      </c>
      <c r="C5" s="1" t="s">
        <v>16</v>
      </c>
    </row>
    <row r="6" spans="1:3" x14ac:dyDescent="0.35">
      <c r="A6" s="9" t="s">
        <v>21</v>
      </c>
      <c r="B6" s="3">
        <v>5</v>
      </c>
      <c r="C6" s="1" t="s">
        <v>16</v>
      </c>
    </row>
    <row r="7" spans="1:3" x14ac:dyDescent="0.35">
      <c r="A7" s="8" t="s">
        <v>22</v>
      </c>
      <c r="B7" s="3">
        <v>6</v>
      </c>
      <c r="C7" s="1" t="s">
        <v>16</v>
      </c>
    </row>
    <row r="8" spans="1:3" x14ac:dyDescent="0.35">
      <c r="A8" s="10" t="s">
        <v>23</v>
      </c>
      <c r="B8" s="3">
        <v>7</v>
      </c>
      <c r="C8" s="1" t="s">
        <v>16</v>
      </c>
    </row>
    <row r="9" spans="1:3" x14ac:dyDescent="0.35">
      <c r="A9" s="1" t="s">
        <v>24</v>
      </c>
      <c r="B9" s="3">
        <v>8</v>
      </c>
      <c r="C9" s="1" t="s">
        <v>16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</vt:lpstr>
      <vt:lpstr>BOM_2024_Workshop_Austria</vt:lpstr>
      <vt:lpstr>Component 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K</dc:creator>
  <cp:lastModifiedBy>Jan K</cp:lastModifiedBy>
  <dcterms:created xsi:type="dcterms:W3CDTF">2024-07-26T09:32:53Z</dcterms:created>
  <dcterms:modified xsi:type="dcterms:W3CDTF">2024-10-09T20:56:13Z</dcterms:modified>
</cp:coreProperties>
</file>