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066db4a5de46abf/2_BasementEngineering/2_Projekte/202112_MiniKenterprise/docs/materials/"/>
    </mc:Choice>
  </mc:AlternateContent>
  <xr:revisionPtr revIDLastSave="85" documentId="11_AD4DB114E441178AC67DF4CD0E16DFA0693EDF13" xr6:coauthVersionLast="47" xr6:coauthVersionMax="47" xr10:uidLastSave="{781D8564-82B9-4DE7-A26A-23ABF8519EAF}"/>
  <bookViews>
    <workbookView xWindow="-110" yWindow="-110" windowWidth="19420" windowHeight="11500" xr2:uid="{00000000-000D-0000-FFFF-FFFF00000000}"/>
  </bookViews>
  <sheets>
    <sheet name="Wires" sheetId="1" r:id="rId1"/>
    <sheet name="Base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10" i="1"/>
  <c r="D3" i="1"/>
  <c r="E3" i="1"/>
  <c r="D4" i="1"/>
  <c r="E4" i="1"/>
  <c r="D5" i="1"/>
  <c r="E5" i="1" s="1"/>
  <c r="D6" i="1"/>
  <c r="E6" i="1"/>
  <c r="D7" i="1"/>
  <c r="E7" i="1"/>
  <c r="D8" i="1"/>
  <c r="E8" i="1"/>
  <c r="D9" i="1"/>
  <c r="E9" i="1"/>
  <c r="D2" i="1"/>
  <c r="E2" i="1" s="1"/>
</calcChain>
</file>

<file path=xl/sharedStrings.xml><?xml version="1.0" encoding="utf-8"?>
<sst xmlns="http://schemas.openxmlformats.org/spreadsheetml/2006/main" count="17" uniqueCount="11">
  <si>
    <t>Stripping Length</t>
  </si>
  <si>
    <t>HoleDistnace</t>
  </si>
  <si>
    <t>mm</t>
  </si>
  <si>
    <t>black</t>
  </si>
  <si>
    <t>red</t>
  </si>
  <si>
    <t>yellow</t>
  </si>
  <si>
    <t>Farbe</t>
  </si>
  <si>
    <t>Anzahl</t>
  </si>
  <si>
    <t>Länge 
(Löcher)</t>
  </si>
  <si>
    <t>Länge 
(mm)</t>
  </si>
  <si>
    <t>Total 
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</si>
</sst>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6" sqref="G6"/>
    </sheetView>
  </sheetViews>
  <sheetFormatPr defaultRowHeight="14.5" x14ac:dyDescent="0.35"/>
  <cols>
    <col min="1" max="1" width="6.7265625" customWidth="1"/>
    <col min="2" max="2" width="8" customWidth="1"/>
    <col min="3" max="3" width="9.1796875" customWidth="1"/>
    <col min="4" max="4" width="9.36328125" customWidth="1"/>
    <col min="5" max="5" width="13.26953125" customWidth="1"/>
  </cols>
  <sheetData>
    <row r="1" spans="1:5" ht="29" x14ac:dyDescent="0.35">
      <c r="A1" s="3" t="s">
        <v>6</v>
      </c>
      <c r="B1" s="3" t="s">
        <v>7</v>
      </c>
      <c r="C1" s="4" t="s">
        <v>8</v>
      </c>
      <c r="D1" s="4" t="s">
        <v>9</v>
      </c>
      <c r="E1" s="4" t="s">
        <v>10</v>
      </c>
    </row>
    <row r="2" spans="1:5" x14ac:dyDescent="0.35">
      <c r="A2" s="1" t="s">
        <v>3</v>
      </c>
      <c r="B2" s="1">
        <v>3</v>
      </c>
      <c r="C2" s="1">
        <v>5</v>
      </c>
      <c r="D2" s="1">
        <f>C2*'Base Values'!$B$2 + 2*'Base Values'!$B$1</f>
        <v>26.7</v>
      </c>
      <c r="E2" s="1">
        <f>D2*B2</f>
        <v>80.099999999999994</v>
      </c>
    </row>
    <row r="3" spans="1:5" x14ac:dyDescent="0.35">
      <c r="A3" s="1" t="s">
        <v>3</v>
      </c>
      <c r="B3" s="1">
        <v>2</v>
      </c>
      <c r="C3" s="1">
        <v>4</v>
      </c>
      <c r="D3" s="1">
        <f>C3*'Base Values'!$B$2 + 2*'Base Values'!$B$1</f>
        <v>24.16</v>
      </c>
      <c r="E3" s="1">
        <f t="shared" ref="E3:E9" si="0">D3*B3</f>
        <v>48.32</v>
      </c>
    </row>
    <row r="4" spans="1:5" x14ac:dyDescent="0.35">
      <c r="A4" s="1" t="s">
        <v>4</v>
      </c>
      <c r="B4" s="1">
        <v>3</v>
      </c>
      <c r="C4" s="1">
        <v>4</v>
      </c>
      <c r="D4" s="1">
        <f>C4*'Base Values'!$B$2 + 2*'Base Values'!$B$1</f>
        <v>24.16</v>
      </c>
      <c r="E4" s="1">
        <f t="shared" si="0"/>
        <v>72.48</v>
      </c>
    </row>
    <row r="5" spans="1:5" x14ac:dyDescent="0.35">
      <c r="A5" s="1" t="s">
        <v>4</v>
      </c>
      <c r="B5" s="1">
        <v>2</v>
      </c>
      <c r="C5" s="1">
        <v>5</v>
      </c>
      <c r="D5" s="1">
        <f>C5*'Base Values'!$B$2 + 2*'Base Values'!$B$1</f>
        <v>26.7</v>
      </c>
      <c r="E5" s="1">
        <f t="shared" si="0"/>
        <v>53.4</v>
      </c>
    </row>
    <row r="6" spans="1:5" x14ac:dyDescent="0.35">
      <c r="A6" s="1" t="s">
        <v>5</v>
      </c>
      <c r="B6" s="1">
        <v>2</v>
      </c>
      <c r="C6" s="1">
        <v>16</v>
      </c>
      <c r="D6" s="1">
        <f>C6*'Base Values'!$B$2 + 2*'Base Values'!$B$1</f>
        <v>54.64</v>
      </c>
      <c r="E6" s="1">
        <f t="shared" si="0"/>
        <v>109.28</v>
      </c>
    </row>
    <row r="7" spans="1:5" x14ac:dyDescent="0.35">
      <c r="A7" s="1" t="s">
        <v>5</v>
      </c>
      <c r="B7" s="1">
        <v>2</v>
      </c>
      <c r="C7" s="1">
        <v>18</v>
      </c>
      <c r="D7" s="1">
        <f>C7*'Base Values'!$B$2 + 2*'Base Values'!$B$1</f>
        <v>59.72</v>
      </c>
      <c r="E7" s="1">
        <f t="shared" si="0"/>
        <v>119.44</v>
      </c>
    </row>
    <row r="8" spans="1:5" x14ac:dyDescent="0.35">
      <c r="A8" s="1" t="s">
        <v>5</v>
      </c>
      <c r="B8" s="1">
        <v>1</v>
      </c>
      <c r="C8" s="1">
        <v>12</v>
      </c>
      <c r="D8" s="1">
        <f>C8*'Base Values'!$B$2 + 2*'Base Values'!$B$1</f>
        <v>44.480000000000004</v>
      </c>
      <c r="E8" s="1">
        <f t="shared" si="0"/>
        <v>44.480000000000004</v>
      </c>
    </row>
    <row r="9" spans="1:5" x14ac:dyDescent="0.35">
      <c r="A9" s="1" t="s">
        <v>5</v>
      </c>
      <c r="B9" s="1">
        <v>1</v>
      </c>
      <c r="C9" s="1">
        <v>17</v>
      </c>
      <c r="D9" s="1">
        <f>C9*'Base Values'!$B$2 + 2*'Base Values'!$B$1</f>
        <v>57.18</v>
      </c>
      <c r="E9" s="1">
        <f t="shared" si="0"/>
        <v>57.18</v>
      </c>
    </row>
    <row r="10" spans="1:5" x14ac:dyDescent="0.35">
      <c r="A10" s="2"/>
      <c r="B10" s="2">
        <f>SUM(B2:B9)</f>
        <v>16</v>
      </c>
      <c r="C10" s="2"/>
      <c r="D10" s="2"/>
      <c r="E10" s="2">
        <f>SUM(E2:E9)</f>
        <v>584.67999999999995</v>
      </c>
    </row>
  </sheetData>
  <conditionalFormatting sqref="A2:A9">
    <cfRule type="containsText" dxfId="2" priority="1" operator="containsText" text="yellow">
      <formula>NOT(ISERROR(SEARCH("yellow",A2)))</formula>
    </cfRule>
    <cfRule type="containsText" dxfId="1" priority="2" operator="containsText" text="red">
      <formula>NOT(ISERROR(SEARCH("red",A2)))</formula>
    </cfRule>
    <cfRule type="containsText" dxfId="0" priority="3" operator="containsText" text="black">
      <formula>NOT(ISERROR(SEARCH("black",A2)))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6D7F-45C8-4601-857D-DA52CFD466C9}">
  <dimension ref="A1:C2"/>
  <sheetViews>
    <sheetView workbookViewId="0">
      <selection activeCell="C3" sqref="C3"/>
    </sheetView>
  </sheetViews>
  <sheetFormatPr defaultRowHeight="14.5" x14ac:dyDescent="0.35"/>
  <cols>
    <col min="1" max="1" width="17.7265625" customWidth="1"/>
  </cols>
  <sheetData>
    <row r="1" spans="1:3" x14ac:dyDescent="0.35">
      <c r="A1" t="s">
        <v>0</v>
      </c>
      <c r="B1">
        <v>7</v>
      </c>
      <c r="C1" t="s">
        <v>2</v>
      </c>
    </row>
    <row r="2" spans="1:3" x14ac:dyDescent="0.35">
      <c r="A2" t="s">
        <v>1</v>
      </c>
      <c r="B2">
        <v>2.54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Wires</vt:lpstr>
      <vt:lpstr>Base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 K</cp:lastModifiedBy>
  <dcterms:created xsi:type="dcterms:W3CDTF">2015-06-05T18:19:34Z</dcterms:created>
  <dcterms:modified xsi:type="dcterms:W3CDTF">2024-10-18T13:31:52Z</dcterms:modified>
</cp:coreProperties>
</file>